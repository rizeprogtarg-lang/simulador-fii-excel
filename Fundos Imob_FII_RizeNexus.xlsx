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ce26df1d2e86446/Documentos/curso dio excel claude/"/>
    </mc:Choice>
  </mc:AlternateContent>
  <xr:revisionPtr revIDLastSave="3" documentId="8_{91102F9B-138F-449D-BBD5-9AAB6083DA2F}" xr6:coauthVersionLast="47" xr6:coauthVersionMax="47" xr10:uidLastSave="{65672175-A63A-4257-829C-B6B0BB6636D9}"/>
  <bookViews>
    <workbookView xWindow="-16320" yWindow="705" windowWidth="16440" windowHeight="29040" tabRatio="26" xr2:uid="{00000000-000D-0000-FFFF-FFFF00000000}"/>
  </bookViews>
  <sheets>
    <sheet name="Simulador" sheetId="1" r:id="rId1"/>
    <sheet name="Apoio" sheetId="2" r:id="rId2"/>
  </sheets>
  <definedNames>
    <definedName name="aporte">Simulador!$D$17</definedName>
    <definedName name="patrimonio">Simulador!$D$20</definedName>
    <definedName name="perfil_selecionado">Simulador!$D$32</definedName>
    <definedName name="qtd_anos">Simulador!$D$18</definedName>
    <definedName name="redimento_carteira">Simulador!$D$13</definedName>
    <definedName name="rendimento_carteira">Simulador!$D$13</definedName>
    <definedName name="salario_bruto">Simulador!$D$12</definedName>
    <definedName name="sugestao_investimento">Simulador!$D$14</definedName>
    <definedName name="taxa_mensal">Simulador!$D$19</definedName>
  </definedNames>
  <calcPr calcId="181029"/>
</workbook>
</file>

<file path=xl/calcChain.xml><?xml version="1.0" encoding="utf-8"?>
<calcChain xmlns="http://schemas.openxmlformats.org/spreadsheetml/2006/main">
  <c r="A19" i="2" l="1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41" i="1"/>
  <c r="C40" i="1"/>
  <c r="C39" i="1"/>
  <c r="C38" i="1"/>
  <c r="C37" i="1"/>
  <c r="C36" i="1"/>
  <c r="D33" i="1"/>
  <c r="C29" i="1"/>
  <c r="D29" i="1" s="1"/>
  <c r="C28" i="1"/>
  <c r="D28" i="1" s="1"/>
  <c r="C27" i="1"/>
  <c r="D27" i="1" s="1"/>
  <c r="C26" i="1"/>
  <c r="D26" i="1" s="1"/>
  <c r="C25" i="1"/>
  <c r="D25" i="1" s="1"/>
  <c r="D20" i="1"/>
  <c r="D21" i="1" s="1"/>
  <c r="D14" i="1"/>
  <c r="D38" i="1" l="1"/>
  <c r="D39" i="1"/>
  <c r="D37" i="1"/>
  <c r="D41" i="1"/>
  <c r="D40" i="1"/>
  <c r="C42" i="1"/>
  <c r="D36" i="1"/>
  <c r="D42" i="1" l="1"/>
</calcChain>
</file>

<file path=xl/sharedStrings.xml><?xml version="1.0" encoding="utf-8"?>
<sst xmlns="http://schemas.openxmlformats.org/spreadsheetml/2006/main" count="75" uniqueCount="41">
  <si>
    <t>SIMULADOR DE INVESTIMENTO EM FIIs | RIZE NEXUS</t>
  </si>
  <si>
    <t>Planejamento Financeiro, Projeção de Dividendos e Gestão de Carteira</t>
  </si>
  <si>
    <t>1. CONFIGURAÇÕES DE RENDA &amp; CARTEIRA</t>
  </si>
  <si>
    <t>Salário Bruto Mensal</t>
  </si>
  <si>
    <t>Rendimento Estimado da Carteira (a.m.)</t>
  </si>
  <si>
    <t>Sugestão de Investimento (30% do Salário)</t>
  </si>
  <si>
    <t>2. SIMULAÇÃO DE APORTE &amp; DIVIDENDOS</t>
  </si>
  <si>
    <t>Quanto investir por mês?</t>
  </si>
  <si>
    <t>Por quantos anos?</t>
  </si>
  <si>
    <t>Taxa de Rendimento mensal?</t>
  </si>
  <si>
    <t>Patrimônio Acumulado Estimado</t>
  </si>
  <si>
    <t>Dividendos Mensais Estimados</t>
  </si>
  <si>
    <t>3. PROJEÇÃO DE CENÁRIOS (LONGO PRAZO)</t>
  </si>
  <si>
    <t>Prazo (Anos)</t>
  </si>
  <si>
    <t>Patrimônio Acumulado</t>
  </si>
  <si>
    <t>Dividendos Mensais</t>
  </si>
  <si>
    <t>2 Anos</t>
  </si>
  <si>
    <t>5 Anos</t>
  </si>
  <si>
    <t>10 Anos</t>
  </si>
  <si>
    <t>20 Anos</t>
  </si>
  <si>
    <t>30 Anos</t>
  </si>
  <si>
    <t>4. DIVISÃO DO APORTE POR PERFIL DE INVESTIDOR</t>
  </si>
  <si>
    <t>Perfil de Investidor Selecionado</t>
  </si>
  <si>
    <t>Conservador</t>
  </si>
  <si>
    <t>Valor Total Aportado por Mês</t>
  </si>
  <si>
    <t>Tipo de FII</t>
  </si>
  <si>
    <t>Percentual Sugerido</t>
  </si>
  <si>
    <t>Valor Alocado (R$)</t>
  </si>
  <si>
    <t>PAPEL</t>
  </si>
  <si>
    <t>TIJOLO</t>
  </si>
  <si>
    <t>HÍBRIDOS</t>
  </si>
  <si>
    <t>FOFS</t>
  </si>
  <si>
    <t>DESENVOLVIMENTO</t>
  </si>
  <si>
    <t>HOTELARIAS</t>
  </si>
  <si>
    <t>TOTAL</t>
  </si>
  <si>
    <t>CHAVE</t>
  </si>
  <si>
    <t>PERFIL</t>
  </si>
  <si>
    <t>TIPO DE FII</t>
  </si>
  <si>
    <t>%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</si>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</sst>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0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4"/>
      <color rgb="FFFFFFFF"/>
      <name val="Segoe UI"/>
    </font>
    <font>
      <i/>
      <sz val="9"/>
      <color rgb="FFCBD5E1"/>
      <name val="Segoe UI"/>
    </font>
    <font>
      <sz val="10"/>
      <color rgb="FF1E293B"/>
      <name val="Segoe UI"/>
    </font>
    <font>
      <b/>
      <sz val="10"/>
      <color rgb="FF0369A1"/>
      <name val="Segoe UI"/>
    </font>
    <font>
      <b/>
      <sz val="10"/>
      <color rgb="FF0F172A"/>
      <name val="Segoe UI"/>
    </font>
    <font>
      <b/>
      <sz val="10"/>
      <color rgb="FFFFFFFF"/>
      <name val="Segoe UI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  <fill>
      <patternFill patternType="solid">
        <fgColor rgb="FFF0F9FF"/>
        <bgColor rgb="FFF0F9FF"/>
      </patternFill>
    </fill>
    <fill>
      <patternFill patternType="solid">
        <fgColor rgb="FFF1F5F9"/>
        <bgColor rgb="FFF1F5F9"/>
      </patternFill>
    </fill>
    <fill>
      <patternFill patternType="solid">
        <fgColor rgb="FF334155"/>
        <bgColor rgb="FF334155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284C7"/>
      </left>
      <right style="thin">
        <color rgb="FF0284C7"/>
      </right>
      <top style="thin">
        <color rgb="FF0284C7"/>
      </top>
      <bottom style="thin">
        <color rgb="FF0284C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/>
    <xf numFmtId="0" fontId="0" fillId="0" borderId="1" xfId="0" applyBorder="1"/>
    <xf numFmtId="164" fontId="5" fillId="4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0" fontId="6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/>
    <xf numFmtId="10" fontId="6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0" fontId="0" fillId="0" borderId="1" xfId="0" applyNumberFormat="1" applyBorder="1"/>
    <xf numFmtId="0" fontId="8" fillId="0" borderId="0" xfId="0" applyFont="1"/>
    <xf numFmtId="0" fontId="6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1" fillId="2" borderId="0" xfId="0" applyFont="1" applyFill="1"/>
    <xf numFmtId="0" fontId="0" fillId="2" borderId="0" xfId="0" applyFill="1"/>
    <xf numFmtId="0" fontId="4" fillId="0" borderId="1" xfId="0" applyFont="1" applyBorder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Divisão do Aporte por Categoria de FII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Simulador!$D$35</c:f>
              <c:strCache>
                <c:ptCount val="1"/>
                <c:pt idx="0">
                  <c:v>Valor Alocado (R$)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Simulador!$D$36:$D$41</c:f>
              <c:numCache>
                <c:formatCode>\R\$\ #,##0.00</c:formatCode>
                <c:ptCount val="6"/>
                <c:pt idx="0">
                  <c:v>45</c:v>
                </c:pt>
                <c:pt idx="1">
                  <c:v>75</c:v>
                </c:pt>
                <c:pt idx="2">
                  <c:v>15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B-400C-AF06-88BA9470E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257174</xdr:colOff>
      <xdr:row>44</xdr:row>
      <xdr:rowOff>142875</xdr:rowOff>
    </xdr:from>
    <xdr:ext cx="5400675" cy="3553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0</xdr:col>
      <xdr:colOff>228601</xdr:colOff>
      <xdr:row>0</xdr:row>
      <xdr:rowOff>0</xdr:rowOff>
    </xdr:from>
    <xdr:to>
      <xdr:col>5</xdr:col>
      <xdr:colOff>0</xdr:colOff>
      <xdr:row>6</xdr:row>
      <xdr:rowOff>145249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DB6662C-6456-07B6-A680-E06BE118A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0"/>
          <a:ext cx="6038849" cy="1288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H60"/>
  <sheetViews>
    <sheetView showGridLines="0" tabSelected="1" zoomScale="130" zoomScaleNormal="130" workbookViewId="0">
      <selection activeCell="D32" sqref="D32"/>
    </sheetView>
  </sheetViews>
  <sheetFormatPr defaultColWidth="0" defaultRowHeight="15" x14ac:dyDescent="0.25"/>
  <cols>
    <col min="1" max="1" width="4" customWidth="1"/>
    <col min="2" max="2" width="38" customWidth="1"/>
    <col min="3" max="4" width="24" customWidth="1"/>
    <col min="5" max="5" width="4" customWidth="1"/>
    <col min="6" max="6" width="20" hidden="1" customWidth="1"/>
    <col min="7" max="8" width="0" hidden="1" customWidth="1"/>
    <col min="9" max="16384" width="9.140625" hidden="1"/>
  </cols>
  <sheetData>
    <row r="8" spans="2:5" ht="20.25" x14ac:dyDescent="0.25">
      <c r="B8" s="26" t="s">
        <v>0</v>
      </c>
      <c r="C8" s="22"/>
      <c r="D8" s="22"/>
      <c r="E8" s="22"/>
    </row>
    <row r="9" spans="2:5" x14ac:dyDescent="0.25">
      <c r="B9" s="21" t="s">
        <v>1</v>
      </c>
      <c r="C9" s="22"/>
      <c r="D9" s="22"/>
      <c r="E9" s="22"/>
    </row>
    <row r="11" spans="2:5" ht="16.5" x14ac:dyDescent="0.3">
      <c r="B11" s="23" t="s">
        <v>2</v>
      </c>
      <c r="C11" s="24"/>
      <c r="D11" s="24"/>
    </row>
    <row r="12" spans="2:5" x14ac:dyDescent="0.25">
      <c r="B12" s="25" t="s">
        <v>3</v>
      </c>
      <c r="C12" s="20"/>
      <c r="D12" s="3">
        <v>2000</v>
      </c>
    </row>
    <row r="13" spans="2:5" x14ac:dyDescent="0.25">
      <c r="B13" s="25" t="s">
        <v>4</v>
      </c>
      <c r="C13" s="20"/>
      <c r="D13" s="4">
        <v>6.0000000000000001E-3</v>
      </c>
    </row>
    <row r="14" spans="2:5" x14ac:dyDescent="0.25">
      <c r="B14" s="25" t="s">
        <v>5</v>
      </c>
      <c r="C14" s="20"/>
      <c r="D14" s="5">
        <f>D12*30%</f>
        <v>600</v>
      </c>
    </row>
    <row r="16" spans="2:5" ht="16.5" x14ac:dyDescent="0.3">
      <c r="B16" s="23" t="s">
        <v>6</v>
      </c>
      <c r="C16" s="24"/>
      <c r="D16" s="24"/>
    </row>
    <row r="17" spans="1:4" x14ac:dyDescent="0.25">
      <c r="B17" s="25" t="s">
        <v>7</v>
      </c>
      <c r="C17" s="20"/>
      <c r="D17" s="3">
        <v>150</v>
      </c>
    </row>
    <row r="18" spans="1:4" x14ac:dyDescent="0.25">
      <c r="B18" s="25" t="s">
        <v>8</v>
      </c>
      <c r="C18" s="20"/>
      <c r="D18" s="6">
        <v>5</v>
      </c>
    </row>
    <row r="19" spans="1:4" x14ac:dyDescent="0.25">
      <c r="B19" s="25" t="s">
        <v>9</v>
      </c>
      <c r="C19" s="20"/>
      <c r="D19" s="7">
        <v>1.0789999999999999E-2</v>
      </c>
    </row>
    <row r="20" spans="1:4" x14ac:dyDescent="0.25">
      <c r="B20" s="19" t="s">
        <v>10</v>
      </c>
      <c r="C20" s="20"/>
      <c r="D20" s="5">
        <f>FV(taxa_mensal,qtd_anos*12,aporte*-1)</f>
        <v>12566.537099773146</v>
      </c>
    </row>
    <row r="21" spans="1:4" x14ac:dyDescent="0.25">
      <c r="B21" s="19" t="s">
        <v>11</v>
      </c>
      <c r="C21" s="20"/>
      <c r="D21" s="5">
        <f>patrimonio*rendimento_carteira</f>
        <v>75.399222598638872</v>
      </c>
    </row>
    <row r="23" spans="1:4" ht="16.5" x14ac:dyDescent="0.3">
      <c r="B23" s="23" t="s">
        <v>12</v>
      </c>
      <c r="C23" s="24"/>
      <c r="D23" s="24"/>
    </row>
    <row r="24" spans="1:4" x14ac:dyDescent="0.25">
      <c r="B24" s="9" t="s">
        <v>13</v>
      </c>
      <c r="C24" s="9" t="s">
        <v>14</v>
      </c>
      <c r="D24" s="9" t="s">
        <v>15</v>
      </c>
    </row>
    <row r="25" spans="1:4" x14ac:dyDescent="0.25">
      <c r="A25" s="18">
        <v>2</v>
      </c>
      <c r="B25" s="10" t="s">
        <v>16</v>
      </c>
      <c r="C25" s="5">
        <f>FV(taxa_mensal, A25*12, aporte*-1)</f>
        <v>4084.1440946467824</v>
      </c>
      <c r="D25" s="5">
        <f>C25*rendimento_carteira</f>
        <v>24.504864567880695</v>
      </c>
    </row>
    <row r="26" spans="1:4" x14ac:dyDescent="0.25">
      <c r="A26" s="18">
        <v>5</v>
      </c>
      <c r="B26" s="10" t="s">
        <v>17</v>
      </c>
      <c r="C26" s="5">
        <f>FV(taxa_mensal, A26*12, aporte*-1)</f>
        <v>12566.537099773146</v>
      </c>
      <c r="D26" s="5">
        <f>C26*rendimento_carteira</f>
        <v>75.399222598638872</v>
      </c>
    </row>
    <row r="27" spans="1:4" x14ac:dyDescent="0.25">
      <c r="A27" s="18">
        <v>10</v>
      </c>
      <c r="B27" s="10" t="s">
        <v>18</v>
      </c>
      <c r="C27" s="5">
        <f>FV(taxa_mensal, A27*12, aporte*-1)</f>
        <v>36492.631879525827</v>
      </c>
      <c r="D27" s="5">
        <f>C27*rendimento_carteira</f>
        <v>218.95579127715496</v>
      </c>
    </row>
    <row r="28" spans="1:4" x14ac:dyDescent="0.25">
      <c r="A28" s="18">
        <v>20</v>
      </c>
      <c r="B28" s="10" t="s">
        <v>19</v>
      </c>
      <c r="C28" s="5">
        <f>FV(taxa_mensal, A28*12, aporte*-1)</f>
        <v>168779.76001456208</v>
      </c>
      <c r="D28" s="5">
        <f>C28*rendimento_carteira</f>
        <v>1012.6785600873725</v>
      </c>
    </row>
    <row r="29" spans="1:4" x14ac:dyDescent="0.25">
      <c r="A29" s="18">
        <v>30</v>
      </c>
      <c r="B29" s="10" t="s">
        <v>20</v>
      </c>
      <c r="C29" s="5">
        <f>FV(taxa_mensal, A29*12, aporte*-1)</f>
        <v>648325.44825070712</v>
      </c>
      <c r="D29" s="5">
        <f>C29*rendimento_carteira</f>
        <v>3889.9526895042427</v>
      </c>
    </row>
    <row r="31" spans="1:4" ht="16.5" x14ac:dyDescent="0.3">
      <c r="B31" s="23" t="s">
        <v>21</v>
      </c>
      <c r="C31" s="24"/>
      <c r="D31" s="24"/>
    </row>
    <row r="32" spans="1:4" x14ac:dyDescent="0.25">
      <c r="B32" s="8" t="s">
        <v>22</v>
      </c>
      <c r="C32" s="2"/>
      <c r="D32" s="11" t="s">
        <v>23</v>
      </c>
    </row>
    <row r="33" spans="2:4" x14ac:dyDescent="0.25">
      <c r="B33" s="1" t="s">
        <v>24</v>
      </c>
      <c r="C33" s="2"/>
      <c r="D33" s="5">
        <f>aporte</f>
        <v>150</v>
      </c>
    </row>
    <row r="35" spans="2:4" x14ac:dyDescent="0.25">
      <c r="B35" s="9" t="s">
        <v>25</v>
      </c>
      <c r="C35" s="9" t="s">
        <v>26</v>
      </c>
      <c r="D35" s="9" t="s">
        <v>27</v>
      </c>
    </row>
    <row r="36" spans="2:4" x14ac:dyDescent="0.25">
      <c r="B36" s="1" t="s">
        <v>28</v>
      </c>
      <c r="C36" s="12">
        <f>VLOOKUP(perfil_selecionado&amp;"-"&amp;B36, Apoio!$A:$D, 4, FALSE)</f>
        <v>0.3</v>
      </c>
      <c r="D36" s="5">
        <f t="shared" ref="D36:D41" si="0">C36*$D$33</f>
        <v>45</v>
      </c>
    </row>
    <row r="37" spans="2:4" x14ac:dyDescent="0.25">
      <c r="B37" s="1" t="s">
        <v>29</v>
      </c>
      <c r="C37" s="12">
        <f>VLOOKUP(perfil_selecionado&amp;"-"&amp;B37, Apoio!$A:$D, 4, FALSE)</f>
        <v>0.5</v>
      </c>
      <c r="D37" s="5">
        <f t="shared" si="0"/>
        <v>75</v>
      </c>
    </row>
    <row r="38" spans="2:4" x14ac:dyDescent="0.25">
      <c r="B38" s="1" t="s">
        <v>30</v>
      </c>
      <c r="C38" s="12">
        <f>VLOOKUP(perfil_selecionado&amp;"-"&amp;B38, Apoio!$A:$D, 4, FALSE)</f>
        <v>0.1</v>
      </c>
      <c r="D38" s="5">
        <f t="shared" si="0"/>
        <v>15</v>
      </c>
    </row>
    <row r="39" spans="2:4" x14ac:dyDescent="0.25">
      <c r="B39" s="1" t="s">
        <v>31</v>
      </c>
      <c r="C39" s="12">
        <f>VLOOKUP(perfil_selecionado&amp;"-"&amp;B39, Apoio!$A:$D, 4, FALSE)</f>
        <v>0.1</v>
      </c>
      <c r="D39" s="5">
        <f t="shared" si="0"/>
        <v>15</v>
      </c>
    </row>
    <row r="40" spans="2:4" x14ac:dyDescent="0.25">
      <c r="B40" s="1" t="s">
        <v>32</v>
      </c>
      <c r="C40" s="12">
        <f>VLOOKUP(perfil_selecionado&amp;"-"&amp;B40, Apoio!$A:$D, 4, FALSE)</f>
        <v>0</v>
      </c>
      <c r="D40" s="5">
        <f t="shared" si="0"/>
        <v>0</v>
      </c>
    </row>
    <row r="41" spans="2:4" x14ac:dyDescent="0.25">
      <c r="B41" s="1" t="s">
        <v>33</v>
      </c>
      <c r="C41" s="12">
        <f>VLOOKUP(perfil_selecionado&amp;"-"&amp;B41, Apoio!$A:$D, 4, FALSE)</f>
        <v>0</v>
      </c>
      <c r="D41" s="5">
        <f t="shared" si="0"/>
        <v>0</v>
      </c>
    </row>
    <row r="42" spans="2:4" x14ac:dyDescent="0.25">
      <c r="B42" s="13" t="s">
        <v>34</v>
      </c>
      <c r="C42" s="14">
        <f>SUM(C36:C41)</f>
        <v>1</v>
      </c>
      <c r="D42" s="15">
        <f>SUM(D36:D41)</f>
        <v>150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</sheetData>
  <mergeCells count="14">
    <mergeCell ref="B8:E8"/>
    <mergeCell ref="B14:C14"/>
    <mergeCell ref="B18:C18"/>
    <mergeCell ref="B12:C12"/>
    <mergeCell ref="B11:D11"/>
    <mergeCell ref="B17:C17"/>
    <mergeCell ref="B16:D16"/>
    <mergeCell ref="B21:C21"/>
    <mergeCell ref="B9:E9"/>
    <mergeCell ref="B31:D31"/>
    <mergeCell ref="B23:D23"/>
    <mergeCell ref="B19:C19"/>
    <mergeCell ref="B20:C20"/>
    <mergeCell ref="B13:C13"/>
  </mergeCells>
  <dataValidations count="1">
    <dataValidation type="list" sqref="D32" xr:uid="{00000000-0002-0000-0000-000000000000}">
      <formula1>"Conservador,Moderado,Agressivo"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5" x14ac:dyDescent="0.25"/>
  <cols>
    <col min="1" max="4" width="28" customWidth="1"/>
  </cols>
  <sheetData>
    <row r="1" spans="1:4" ht="16.5" x14ac:dyDescent="0.25">
      <c r="A1" s="16" t="s">
        <v>35</v>
      </c>
      <c r="B1" s="16" t="s">
        <v>36</v>
      </c>
      <c r="C1" s="16" t="s">
        <v>37</v>
      </c>
      <c r="D1" s="16" t="s">
        <v>38</v>
      </c>
    </row>
    <row r="2" spans="1:4" x14ac:dyDescent="0.25">
      <c r="A2" s="2" t="str">
        <f t="shared" ref="A2:A19" si="0">B2&amp;"-"&amp;C2</f>
        <v>Conservador-PAPEL</v>
      </c>
      <c r="B2" s="2" t="s">
        <v>23</v>
      </c>
      <c r="C2" s="2" t="s">
        <v>28</v>
      </c>
      <c r="D2" s="17">
        <v>0.3</v>
      </c>
    </row>
    <row r="3" spans="1:4" x14ac:dyDescent="0.25">
      <c r="A3" s="2" t="str">
        <f t="shared" si="0"/>
        <v>Conservador-TIJOLO</v>
      </c>
      <c r="B3" s="2" t="s">
        <v>23</v>
      </c>
      <c r="C3" s="2" t="s">
        <v>29</v>
      </c>
      <c r="D3" s="17">
        <v>0.5</v>
      </c>
    </row>
    <row r="4" spans="1:4" x14ac:dyDescent="0.25">
      <c r="A4" s="2" t="str">
        <f t="shared" si="0"/>
        <v>Conservador-HÍBRIDOS</v>
      </c>
      <c r="B4" s="2" t="s">
        <v>23</v>
      </c>
      <c r="C4" s="2" t="s">
        <v>30</v>
      </c>
      <c r="D4" s="17">
        <v>0.1</v>
      </c>
    </row>
    <row r="5" spans="1:4" x14ac:dyDescent="0.25">
      <c r="A5" s="2" t="str">
        <f t="shared" si="0"/>
        <v>Conservador-FOFS</v>
      </c>
      <c r="B5" s="2" t="s">
        <v>23</v>
      </c>
      <c r="C5" s="2" t="s">
        <v>31</v>
      </c>
      <c r="D5" s="17">
        <v>0.1</v>
      </c>
    </row>
    <row r="6" spans="1:4" x14ac:dyDescent="0.25">
      <c r="A6" s="2" t="str">
        <f t="shared" si="0"/>
        <v>Conservador-DESENVOLVIMENTO</v>
      </c>
      <c r="B6" s="2" t="s">
        <v>23</v>
      </c>
      <c r="C6" s="2" t="s">
        <v>32</v>
      </c>
      <c r="D6" s="17">
        <v>0</v>
      </c>
    </row>
    <row r="7" spans="1:4" x14ac:dyDescent="0.25">
      <c r="A7" s="2" t="str">
        <f t="shared" si="0"/>
        <v>Conservador-HOTELARIAS</v>
      </c>
      <c r="B7" s="2" t="s">
        <v>23</v>
      </c>
      <c r="C7" s="2" t="s">
        <v>33</v>
      </c>
      <c r="D7" s="17">
        <v>0</v>
      </c>
    </row>
    <row r="8" spans="1:4" x14ac:dyDescent="0.25">
      <c r="A8" s="2" t="str">
        <f t="shared" si="0"/>
        <v>Moderado-PAPEL</v>
      </c>
      <c r="B8" s="2" t="s">
        <v>39</v>
      </c>
      <c r="C8" s="2" t="s">
        <v>28</v>
      </c>
      <c r="D8" s="17">
        <v>0.32</v>
      </c>
    </row>
    <row r="9" spans="1:4" x14ac:dyDescent="0.25">
      <c r="A9" s="2" t="str">
        <f t="shared" si="0"/>
        <v>Moderado-TIJOLO</v>
      </c>
      <c r="B9" s="2" t="s">
        <v>39</v>
      </c>
      <c r="C9" s="2" t="s">
        <v>29</v>
      </c>
      <c r="D9" s="17">
        <v>0.35</v>
      </c>
    </row>
    <row r="10" spans="1:4" x14ac:dyDescent="0.25">
      <c r="A10" s="2" t="str">
        <f t="shared" si="0"/>
        <v>Moderado-HÍBRIDOS</v>
      </c>
      <c r="B10" s="2" t="s">
        <v>39</v>
      </c>
      <c r="C10" s="2" t="s">
        <v>30</v>
      </c>
      <c r="D10" s="17">
        <v>0.08</v>
      </c>
    </row>
    <row r="11" spans="1:4" x14ac:dyDescent="0.25">
      <c r="A11" s="2" t="str">
        <f t="shared" si="0"/>
        <v>Moderado-FOFS</v>
      </c>
      <c r="B11" s="2" t="s">
        <v>39</v>
      </c>
      <c r="C11" s="2" t="s">
        <v>31</v>
      </c>
      <c r="D11" s="17">
        <v>0.05</v>
      </c>
    </row>
    <row r="12" spans="1:4" x14ac:dyDescent="0.25">
      <c r="A12" s="2" t="str">
        <f t="shared" si="0"/>
        <v>Moderado-DESENVOLVIMENTO</v>
      </c>
      <c r="B12" s="2" t="s">
        <v>39</v>
      </c>
      <c r="C12" s="2" t="s">
        <v>32</v>
      </c>
      <c r="D12" s="17">
        <v>0.1</v>
      </c>
    </row>
    <row r="13" spans="1:4" x14ac:dyDescent="0.25">
      <c r="A13" s="2" t="str">
        <f t="shared" si="0"/>
        <v>Moderado-HOTELARIAS</v>
      </c>
      <c r="B13" s="2" t="s">
        <v>39</v>
      </c>
      <c r="C13" s="2" t="s">
        <v>33</v>
      </c>
      <c r="D13" s="17">
        <v>0.1</v>
      </c>
    </row>
    <row r="14" spans="1:4" x14ac:dyDescent="0.25">
      <c r="A14" s="2" t="str">
        <f t="shared" si="0"/>
        <v>Agressivo-PAPEL</v>
      </c>
      <c r="B14" s="2" t="s">
        <v>40</v>
      </c>
      <c r="C14" s="2" t="s">
        <v>28</v>
      </c>
      <c r="D14" s="17">
        <v>0.5</v>
      </c>
    </row>
    <row r="15" spans="1:4" x14ac:dyDescent="0.25">
      <c r="A15" s="2" t="str">
        <f t="shared" si="0"/>
        <v>Agressivo-TIJOLO</v>
      </c>
      <c r="B15" s="2" t="s">
        <v>40</v>
      </c>
      <c r="C15" s="2" t="s">
        <v>29</v>
      </c>
      <c r="D15" s="17">
        <v>0.1</v>
      </c>
    </row>
    <row r="16" spans="1:4" x14ac:dyDescent="0.25">
      <c r="A16" s="2" t="str">
        <f t="shared" si="0"/>
        <v>Agressivo-HÍBRIDOS</v>
      </c>
      <c r="B16" s="2" t="s">
        <v>40</v>
      </c>
      <c r="C16" s="2" t="s">
        <v>30</v>
      </c>
      <c r="D16" s="17">
        <v>0.05</v>
      </c>
    </row>
    <row r="17" spans="1:4" x14ac:dyDescent="0.25">
      <c r="A17" s="2" t="str">
        <f t="shared" si="0"/>
        <v>Agressivo-FOFS</v>
      </c>
      <c r="B17" s="2" t="s">
        <v>40</v>
      </c>
      <c r="C17" s="2" t="s">
        <v>31</v>
      </c>
      <c r="D17" s="17">
        <v>0.05</v>
      </c>
    </row>
    <row r="18" spans="1:4" x14ac:dyDescent="0.25">
      <c r="A18" s="2" t="str">
        <f t="shared" si="0"/>
        <v>Agressivo-DESENVOLVIMENTO</v>
      </c>
      <c r="B18" s="2" t="s">
        <v>40</v>
      </c>
      <c r="C18" s="2" t="s">
        <v>32</v>
      </c>
      <c r="D18" s="17">
        <v>0.2</v>
      </c>
    </row>
    <row r="19" spans="1:4" x14ac:dyDescent="0.25">
      <c r="A19" s="2" t="str">
        <f t="shared" si="0"/>
        <v>Agressivo-HOTELARIAS</v>
      </c>
      <c r="B19" s="2" t="s">
        <v>40</v>
      </c>
      <c r="C19" s="2" t="s">
        <v>33</v>
      </c>
      <c r="D19" s="17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Simulador</vt:lpstr>
      <vt:lpstr>Apoio</vt:lpstr>
      <vt:lpstr>aporte</vt:lpstr>
      <vt:lpstr>patrimonio</vt:lpstr>
      <vt:lpstr>perfil_selecionado</vt:lpstr>
      <vt:lpstr>qtd_anos</vt:lpstr>
      <vt:lpstr>redimento_carteira</vt:lpstr>
      <vt:lpstr>rendimento_carteira</vt:lpstr>
      <vt:lpstr>salario_bruto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Charles</cp:lastModifiedBy>
  <dcterms:created xsi:type="dcterms:W3CDTF">2026-10-15T23:50:15Z</dcterms:created>
  <dcterms:modified xsi:type="dcterms:W3CDTF">2026-10-16T00:09:46Z</dcterms:modified>
</cp:coreProperties>
</file>